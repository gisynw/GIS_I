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CA\classes\2021Spring\GIS3403\Labs\Lab6\Exercise_6\"/>
    </mc:Choice>
  </mc:AlternateContent>
  <xr:revisionPtr revIDLastSave="0" documentId="13_ncr:1_{D64B6A37-7327-4F7B-9609-80263FCE8A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7" i="1" s="1"/>
  <c r="H8" i="1" s="1"/>
  <c r="H5" i="1"/>
  <c r="H6" i="1"/>
  <c r="G3" i="1"/>
  <c r="G4" i="1"/>
  <c r="G5" i="1"/>
  <c r="G6" i="1"/>
  <c r="G7" i="1"/>
  <c r="F3" i="1"/>
  <c r="F4" i="1"/>
  <c r="F5" i="1"/>
  <c r="F7" i="1" s="1"/>
  <c r="F8" i="1" s="1"/>
  <c r="F6" i="1"/>
  <c r="E3" i="1"/>
  <c r="E4" i="1"/>
  <c r="E5" i="1"/>
  <c r="E6" i="1"/>
  <c r="F9" i="1" l="1"/>
  <c r="H2" i="1"/>
  <c r="F2" i="1"/>
  <c r="E2" i="1"/>
  <c r="G2" i="1"/>
</calcChain>
</file>

<file path=xl/sharedStrings.xml><?xml version="1.0" encoding="utf-8"?>
<sst xmlns="http://schemas.openxmlformats.org/spreadsheetml/2006/main" count="12" uniqueCount="12">
  <si>
    <t>Predicted X (easting)</t>
  </si>
  <si>
    <t>Predicted Y (northing)</t>
  </si>
  <si>
    <t>Ypre-Yref</t>
  </si>
  <si>
    <t>RMSEx</t>
  </si>
  <si>
    <t>RMSEy</t>
  </si>
  <si>
    <t>RMSE</t>
  </si>
  <si>
    <t>Sum</t>
  </si>
  <si>
    <t>Actual X (easting)</t>
  </si>
  <si>
    <t>Actual Y (northing)</t>
  </si>
  <si>
    <t>Xpre-Xact</t>
  </si>
  <si>
    <t>(Xpre-Xact)^2</t>
  </si>
  <si>
    <t>(Ypre-Yact)^2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</si>
</sst>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 wrapText="1"/>
    </xf>
    <xf numFmtId="4" fontId="1" fillId="0" borderId="4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5" sqref="H15"/>
    </sheetView>
  </sheetViews>
  <sheetFormatPr defaultRowHeight="15" x14ac:dyDescent="0.25"/>
  <cols>
    <col min="1" max="1" width="22" customWidth="1"/>
    <col min="2" max="2" width="26.42578125" customWidth="1"/>
    <col min="3" max="3" width="21.42578125" customWidth="1"/>
    <col min="4" max="4" width="25.5703125" customWidth="1"/>
    <col min="5" max="5" width="13" customWidth="1"/>
    <col min="6" max="6" width="15.5703125" customWidth="1"/>
    <col min="7" max="7" width="11.5703125" customWidth="1"/>
    <col min="8" max="8" width="15.85546875" customWidth="1"/>
  </cols>
  <sheetData>
    <row r="1" spans="1:8" ht="15.75" x14ac:dyDescent="0.25">
      <c r="A1" s="1" t="s">
        <v>7</v>
      </c>
      <c r="B1" s="2" t="s">
        <v>8</v>
      </c>
      <c r="C1" s="2" t="s">
        <v>0</v>
      </c>
      <c r="D1" s="2" t="s">
        <v>1</v>
      </c>
      <c r="E1" s="5" t="s">
        <v>9</v>
      </c>
      <c r="F1" s="5" t="s">
        <v>10</v>
      </c>
      <c r="G1" s="5" t="s">
        <v>2</v>
      </c>
      <c r="H1" s="5" t="s">
        <v>11</v>
      </c>
    </row>
    <row r="2" spans="1:8" ht="16.5" thickBot="1" x14ac:dyDescent="0.3">
      <c r="A2" s="3">
        <v>513128.4</v>
      </c>
      <c r="B2" s="4">
        <v>4101292.6</v>
      </c>
      <c r="C2" s="4">
        <v>513127.3</v>
      </c>
      <c r="D2" s="4">
        <v>4101293.4</v>
      </c>
      <c r="E2" s="6">
        <f>C2-A2</f>
        <v>-1.1000000000349246</v>
      </c>
      <c r="F2" s="6">
        <f>E2*E2</f>
        <v>1.2100000000768341</v>
      </c>
      <c r="G2" s="6">
        <f>D2-B2</f>
        <v>0.79999999981373549</v>
      </c>
      <c r="H2">
        <f>G2*G2</f>
        <v>0.63999999970197674</v>
      </c>
    </row>
    <row r="3" spans="1:8" ht="16.5" thickBot="1" x14ac:dyDescent="0.3">
      <c r="A3" s="3">
        <v>513117.8</v>
      </c>
      <c r="B3" s="4">
        <v>4101301.4</v>
      </c>
      <c r="C3" s="4">
        <v>513118.1</v>
      </c>
      <c r="D3" s="4">
        <v>4101303.1</v>
      </c>
      <c r="E3" s="6">
        <f t="shared" ref="E3:E6" si="0">C3-A3</f>
        <v>0.29999999998835847</v>
      </c>
      <c r="F3" s="6">
        <f t="shared" ref="F3:F6" si="1">E3*E3</f>
        <v>8.9999999993015084E-2</v>
      </c>
      <c r="G3" s="6">
        <f t="shared" ref="G3:G7" si="2">D3-B3</f>
        <v>1.7000000001862645</v>
      </c>
      <c r="H3">
        <f t="shared" ref="H3:H6" si="3">G3*G3</f>
        <v>2.8900000006332993</v>
      </c>
    </row>
    <row r="4" spans="1:8" ht="16.5" thickBot="1" x14ac:dyDescent="0.3">
      <c r="A4" s="3">
        <v>513201.7</v>
      </c>
      <c r="B4" s="4">
        <v>4101208.1</v>
      </c>
      <c r="C4" s="4">
        <v>513203.1</v>
      </c>
      <c r="D4" s="4">
        <v>4101209.2</v>
      </c>
      <c r="E4" s="6">
        <f t="shared" si="0"/>
        <v>1.3999999999650754</v>
      </c>
      <c r="F4" s="6">
        <f t="shared" si="1"/>
        <v>1.9599999999022111</v>
      </c>
      <c r="G4" s="6">
        <f t="shared" si="2"/>
        <v>1.1000000000931323</v>
      </c>
      <c r="H4">
        <f t="shared" si="3"/>
        <v>1.210000000204891</v>
      </c>
    </row>
    <row r="5" spans="1:8" ht="16.5" thickBot="1" x14ac:dyDescent="0.3">
      <c r="A5" s="3">
        <v>513180.3</v>
      </c>
      <c r="B5" s="4">
        <v>4101375.8</v>
      </c>
      <c r="C5" s="4">
        <v>513181.6</v>
      </c>
      <c r="D5" s="4">
        <v>4101373.9</v>
      </c>
      <c r="E5" s="6">
        <f t="shared" si="0"/>
        <v>1.2999999999883585</v>
      </c>
      <c r="F5" s="6">
        <f t="shared" si="1"/>
        <v>1.6899999999697319</v>
      </c>
      <c r="G5" s="6">
        <f t="shared" si="2"/>
        <v>-1.8999999999068677</v>
      </c>
      <c r="H5">
        <f t="shared" si="3"/>
        <v>3.6099999996460976</v>
      </c>
    </row>
    <row r="6" spans="1:8" ht="16.5" thickBot="1" x14ac:dyDescent="0.3">
      <c r="A6" s="3">
        <v>513215.6</v>
      </c>
      <c r="B6" s="4">
        <v>4101401.6</v>
      </c>
      <c r="C6" s="4">
        <v>513216.1</v>
      </c>
      <c r="D6" s="4">
        <v>4101402.2</v>
      </c>
      <c r="E6" s="6">
        <f t="shared" si="0"/>
        <v>0.5</v>
      </c>
      <c r="F6" s="6">
        <f t="shared" si="1"/>
        <v>0.25</v>
      </c>
      <c r="G6" s="6">
        <f t="shared" si="2"/>
        <v>0.60000000009313226</v>
      </c>
      <c r="H6">
        <f t="shared" si="3"/>
        <v>0.3600000001117587</v>
      </c>
    </row>
    <row r="7" spans="1:8" x14ac:dyDescent="0.25">
      <c r="E7" t="s">
        <v>6</v>
      </c>
      <c r="F7" s="6">
        <f>SUM(F2:F6)</f>
        <v>5.1999999999417925</v>
      </c>
      <c r="G7" s="6">
        <f t="shared" si="2"/>
        <v>0</v>
      </c>
      <c r="H7">
        <f>SUM(H2:H6)</f>
        <v>8.7100000002980238</v>
      </c>
    </row>
    <row r="8" spans="1:8" x14ac:dyDescent="0.25">
      <c r="E8" t="s">
        <v>3</v>
      </c>
      <c r="F8" s="6">
        <f>SQRT(F7/5)</f>
        <v>1.0198039027128492</v>
      </c>
      <c r="G8" t="s">
        <v>4</v>
      </c>
      <c r="H8">
        <f>SQRT(H7/5)</f>
        <v>1.3198484761742935</v>
      </c>
    </row>
    <row r="9" spans="1:8" x14ac:dyDescent="0.25">
      <c r="E9" t="s">
        <v>5</v>
      </c>
      <c r="F9">
        <f>SQRT(F8*F8+H8*H8)</f>
        <v>1.667932852379844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Maxwell</dc:creator>
  <cp:lastModifiedBy>Yaqian He</cp:lastModifiedBy>
  <dcterms:created xsi:type="dcterms:W3CDTF">2018-02-28T16:51:48Z</dcterms:created>
  <dcterms:modified xsi:type="dcterms:W3CDTF">2021-09-27T05:09:15Z</dcterms:modified>
</cp:coreProperties>
</file>